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activeTab="1"/>
  </bookViews>
  <sheets>
    <sheet name="Структура сценария" sheetId="7" r:id="rId1"/>
    <sheet name="Сводная таблица по сценарию" sheetId="8" r:id="rId2"/>
    <sheet name="Аркуш1" sheetId="1" r:id="rId3"/>
    <sheet name="Лист1" sheetId="2" r:id="rId4"/>
  </sheets>
  <definedNames>
    <definedName name="Амплитуда_колебаний__м">Аркуш1!$E$3</definedName>
    <definedName name="Длина_нити__м">Аркуш1!$B$3</definedName>
    <definedName name="Длина_нити_кг">Аркуш1!$B$3</definedName>
    <definedName name="Дуговая_координата__м">Аркуш1!$E$5</definedName>
    <definedName name="Кинетичская_энергия__Дж">Аркуш1!$E$8</definedName>
    <definedName name="Масса_груза_кг">Аркуш1!$B$4</definedName>
    <definedName name="Момент_времени__с">Аркуш1!$B$7</definedName>
    <definedName name="Начальный_угол__рад">Аркуш1!$B$6</definedName>
    <definedName name="Период__с">Аркуш1!$E$2</definedName>
    <definedName name="Полная_энергияя__Дж">Аркуш1!$E$9</definedName>
    <definedName name="Потенциальная_энергия__Дж">Аркуш1!$E$7</definedName>
    <definedName name="Скорочть_груза__м_с">Аркуш1!$E$6</definedName>
    <definedName name="Собственная_частота__1_с">Аркуш1!$E$4</definedName>
    <definedName name="Ускорение_свободного_падения_м_с">Аркуш1!$B$5</definedName>
  </definedNames>
  <calcPr calcId="152511"/>
  <pivotCaches>
    <pivotCache cacheId="0" r:id="rId5"/>
  </pivotCaches>
</workbook>
</file>

<file path=xl/calcChain.xml><?xml version="1.0" encoding="utf-8"?>
<calcChain xmlns="http://schemas.openxmlformats.org/spreadsheetml/2006/main">
  <c r="B5" i="2" l="1"/>
  <c r="E4" i="1" l="1"/>
  <c r="E3" i="1"/>
  <c r="E2" i="1"/>
  <c r="E6" i="1" l="1"/>
  <c r="E8" i="1" s="1"/>
  <c r="E5" i="1"/>
  <c r="E7" i="1" s="1"/>
  <c r="E9" i="1" l="1"/>
</calcChain>
</file>

<file path=xl/sharedStrings.xml><?xml version="1.0" encoding="utf-8"?>
<sst xmlns="http://schemas.openxmlformats.org/spreadsheetml/2006/main" count="59" uniqueCount="46">
  <si>
    <t>Исходные данные</t>
  </si>
  <si>
    <t>Значения</t>
  </si>
  <si>
    <t>Масса груза, кг</t>
  </si>
  <si>
    <t>Начальный угол, рад</t>
  </si>
  <si>
    <t>Момент времени, с</t>
  </si>
  <si>
    <t>Амплитуда колебаний, м</t>
  </si>
  <si>
    <t>Собственная частота, 1/с</t>
  </si>
  <si>
    <t>Дуговая координата, м</t>
  </si>
  <si>
    <t>Скорочть груза, м/с</t>
  </si>
  <si>
    <t>Потенциальная энергия, Дж</t>
  </si>
  <si>
    <t>Кинетичская энергия, Дж</t>
  </si>
  <si>
    <t>Полная энергияя, Дж</t>
  </si>
  <si>
    <t>Математический маятник</t>
  </si>
  <si>
    <t>Длина нити, кг</t>
  </si>
  <si>
    <t>Ускорение свободного падения, м/с</t>
  </si>
  <si>
    <t>Период, с</t>
  </si>
  <si>
    <t>Затраты</t>
  </si>
  <si>
    <t>Комплектующие</t>
  </si>
  <si>
    <t>Расходные материалы</t>
  </si>
  <si>
    <t>Итого</t>
  </si>
  <si>
    <t>Масса_груза_кг</t>
  </si>
  <si>
    <t>Ускорение_свободного_падения_м_</t>
  </si>
  <si>
    <t>Начальный_угол__рад</t>
  </si>
  <si>
    <t>Момент_времени__с</t>
  </si>
  <si>
    <t>Структура сценария</t>
  </si>
  <si>
    <t>Изменяемые:</t>
  </si>
  <si>
    <t>Текущие значения:</t>
  </si>
  <si>
    <t>Результат:</t>
  </si>
  <si>
    <t xml:space="preserve">Примечания: столбец ''Текущие значения'' представляет значения изменяемых ячеек в </t>
  </si>
  <si>
    <t>момент создания Итогового отчета по Сценарию. Изменяемые ячейки для каждого</t>
  </si>
  <si>
    <t>сценария выделены серым цветом.</t>
  </si>
  <si>
    <t>Период__с</t>
  </si>
  <si>
    <t>Амплитуда_колебаний__м</t>
  </si>
  <si>
    <t>Собственная_частота__1_с</t>
  </si>
  <si>
    <t>Дуговая_координата__м</t>
  </si>
  <si>
    <t>Скорочть_груза__м_с</t>
  </si>
  <si>
    <t>Потенциальная_энергия__Дж</t>
  </si>
  <si>
    <t>Кинетичская_энергия__Дж</t>
  </si>
  <si>
    <t>Полная_энергияя__Дж</t>
  </si>
  <si>
    <t>Длина_нити__м</t>
  </si>
  <si>
    <t>Вариант1</t>
  </si>
  <si>
    <t>Вариант2</t>
  </si>
  <si>
    <t>Вариант3</t>
  </si>
  <si>
    <t>Вариант4</t>
  </si>
  <si>
    <t>Названия строк</t>
  </si>
  <si>
    <t>(Все)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</si>
</sst>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2" xfId="0" applyBorder="1" applyAlignment="1">
      <alignment horizontal="center"/>
    </xf>
    <xf numFmtId="0" fontId="0" fillId="0" borderId="0" xfId="0" applyFill="1" applyBorder="1" applyAlignment="1"/>
    <xf numFmtId="0" fontId="0" fillId="0" borderId="4" xfId="0" applyFill="1" applyBorder="1" applyAlignment="1"/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0" fillId="0" borderId="5" xfId="0" applyFill="1" applyBorder="1" applyAlignment="1"/>
    <xf numFmtId="0" fontId="2" fillId="3" borderId="0" xfId="0" applyFont="1" applyFill="1" applyBorder="1" applyAlignment="1">
      <alignment horizontal="left"/>
    </xf>
    <xf numFmtId="0" fontId="3" fillId="3" borderId="5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left"/>
    </xf>
    <xf numFmtId="0" fontId="4" fillId="2" borderId="3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right"/>
    </xf>
    <xf numFmtId="0" fontId="0" fillId="4" borderId="0" xfId="0" applyFill="1" applyBorder="1" applyAlignment="1"/>
    <xf numFmtId="0" fontId="5" fillId="0" borderId="0" xfId="0" applyFont="1" applyFill="1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190499</xdr:colOff>
          <xdr:row>0</xdr:row>
          <xdr:rowOff>171450</xdr:rowOff>
        </xdr:from>
        <xdr:to>
          <xdr:col>8</xdr:col>
          <xdr:colOff>85724</xdr:colOff>
          <xdr:row>3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Автор" refreshedDate="43203.602677199073" createdVersion="5" refreshedVersion="5" minRefreshableVersion="3" recordCount="4">
  <cacheSource type="scenario"/>
  <cacheFields count="10">
    <cacheField name="$B$3:$B$7" numFmtId="0">
      <sharedItems containsNonDate="0" count="4">
        <s v="Вариант1"/>
        <s v="Вариант2"/>
        <s v="Вариант3"/>
        <s v="Вариант4"/>
      </sharedItems>
    </cacheField>
    <cacheField name="$B$3:$B$7 на" numFmtId="0">
      <sharedItems containsNonDate="0" count="1">
        <s v="User"/>
      </sharedItems>
    </cacheField>
    <cacheField name="рез Период__с" numFmtId="0">
      <sharedItems containsSemiMixedTypes="0" containsNonDate="0" containsString="0" containsNumber="1" minValue="1.4553146940104971" maxValue="3.358503816725428" count="4">
        <n v="2.0060666807106475"/>
        <n v="2.3087051324340027"/>
        <n v="1.4553146940104971"/>
        <n v="3.358503816725428"/>
      </sharedItems>
    </cacheField>
    <cacheField name="рез Амплитуда_колебаний__м" numFmtId="0">
      <sharedItems containsSemiMixedTypes="0" containsNonDate="0" containsString="0" containsNumber="1" minValue="1.5000750031251271E-2" maxValue="0.36260764360735193" count="4">
        <n v="3.001350506435355E-2"/>
        <n v="1.5000750031251271E-2"/>
        <n v="2.503128258521153E-2"/>
        <n v="0.36260764360735193"/>
      </sharedItems>
    </cacheField>
    <cacheField name="рез Собственная_частота__1_с" numFmtId="0">
      <sharedItems containsSemiMixedTypes="0" containsNonDate="0" containsString="0" containsNumber="1" minValue="1.8708286933869707" maxValue="4.3174066289845809" count="4">
        <n v="3.1320919526731652"/>
        <n v="2.7215191835933594"/>
        <n v="4.3174066289845809"/>
        <n v="1.8708286933869707"/>
      </sharedItems>
    </cacheField>
    <cacheField name="рез Дуговая_координата__м" numFmtId="0">
      <sharedItems containsSemiMixedTypes="0" containsNonDate="0" containsString="0" containsNumber="1" minValue="1.4515914602614191E-2" maxValue="0.31595377227053417" count="4">
        <n v="2.9884801544983134E-2"/>
        <n v="1.4515914602614191E-2"/>
        <n v="2.492270779652608E-2"/>
        <n v="0.31595377227053417"/>
      </sharedItems>
    </cacheField>
    <cacheField name="рез Скорочть_груза__м_с" numFmtId="0">
      <sharedItems containsSemiMixedTypes="0" containsNonDate="0" containsString="0" containsNumber="1" minValue="8.6963495390397858E-3" maxValue="0.33286830649182464" count="4">
        <n v="8.6963495390397858E-3"/>
        <n v="1.0295376048470662E-2"/>
        <n v="1.0054779322404894E-2"/>
        <n v="0.33286830649182464"/>
      </sharedItems>
    </cacheField>
    <cacheField name="рез Потенциальная_энергия__Дж" numFmtId="0">
      <sharedItems containsSemiMixedTypes="0" containsNonDate="0" containsString="0" containsNumber="1" minValue="1.5606597134672762E-3" maxValue="0.13962836750345994" count="4">
        <n v="4.3803361658183394E-3"/>
        <n v="1.5606597134672762E-3"/>
        <n v="1.446959751840377E-2"/>
        <n v="0.13962836750345994"/>
      </sharedItems>
    </cacheField>
    <cacheField name="рез Кинетичская_энергия__Дж" numFmtId="0">
      <sharedItems containsSemiMixedTypes="0" containsNonDate="0" containsString="0" containsNumber="1" minValue="3.7813247652578748E-5" maxValue="4.4320523786694127E-2" count="4">
        <n v="3.7813247652578748E-5"/>
        <n v="1.0599476797942337E-4"/>
        <n v="1.2637323402782627E-4"/>
        <n v="4.4320523786694127E-2"/>
      </sharedItems>
    </cacheField>
    <cacheField name="рез Полная_энергияя__Дж" numFmtId="0">
      <sharedItems containsSemiMixedTypes="0" containsNonDate="0" containsString="0" containsNumber="1" minValue="1.6666544814466996E-3" maxValue="0.18394889129015407" count="4">
        <n v="4.4181494134709178E-3"/>
        <n v="1.6666544814466996E-3"/>
        <n v="1.4595970752431596E-2"/>
        <n v="0.1839488912901540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Ячейки результата" updatedVersion="5" minRefreshableVersion="3" useAutoFormatting="1" rowGrandTotals="0" colGrandTotals="0" itemPrintTitles="1" createdVersion="5" indent="0" outline="1" outlineData="1" multipleFieldFilters="0" fieldListSortAscending="1">
  <location ref="A3:I7" firstHeaderRow="0" firstDataRow="1" firstDataCol="1" rowPageCount="1" colPageCount="1"/>
  <pivotFields count="10">
    <pivotField axis="axisRow" showAll="0" defaultSubtotal="0">
      <items count="4">
        <item x="0"/>
        <item x="1"/>
        <item x="2"/>
        <item x="3"/>
      </items>
    </pivotField>
    <pivotField name="Значения" axis="axisPage" showAll="0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>
      <x v="3"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1" hier="-1"/>
  </pageFields>
  <dataFields count="8">
    <dataField name="Период__с" fld="2" baseField="0" baseItem="0"/>
    <dataField name="Амплитуда_колебаний__м" fld="3" baseField="0" baseItem="0"/>
    <dataField name="Собственная_частота__1_с" fld="4" baseField="0" baseItem="0"/>
    <dataField name="Дуговая_координата__м" fld="5" baseField="0" baseItem="0"/>
    <dataField name="Скорочть_груза__м_с" fld="6" baseField="0" baseItem="0"/>
    <dataField name="Потенциальная_энергия__Дж" fld="7" baseField="0" baseItem="0"/>
    <dataField name="Кинетичская_энергия__Дж" fld="8" baseField="0" baseItem="0"/>
    <dataField name="Полная_энергияя__Дж" fld="9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/>
  </sheetPr>
  <dimension ref="B1:H22"/>
  <sheetViews>
    <sheetView showGridLines="0" workbookViewId="0"/>
  </sheetViews>
  <sheetFormatPr defaultRowHeight="15" outlineLevelRow="1" outlineLevelCol="1" x14ac:dyDescent="0.25"/>
  <cols>
    <col min="3" max="3" width="35.85546875" bestFit="1" customWidth="1"/>
    <col min="4" max="8" width="16.140625" bestFit="1" customWidth="1" outlineLevel="1"/>
  </cols>
  <sheetData>
    <row r="1" spans="2:8" ht="15.75" thickBot="1" x14ac:dyDescent="0.3"/>
    <row r="2" spans="2:8" ht="15.75" x14ac:dyDescent="0.25">
      <c r="B2" s="7" t="s">
        <v>24</v>
      </c>
      <c r="C2" s="7"/>
      <c r="D2" s="12"/>
      <c r="E2" s="12"/>
      <c r="F2" s="12"/>
      <c r="G2" s="12"/>
      <c r="H2" s="12"/>
    </row>
    <row r="3" spans="2:8" ht="15.75" collapsed="1" x14ac:dyDescent="0.25">
      <c r="B3" s="6"/>
      <c r="C3" s="6"/>
      <c r="D3" s="13" t="s">
        <v>26</v>
      </c>
      <c r="E3" s="13" t="s">
        <v>40</v>
      </c>
      <c r="F3" s="13" t="s">
        <v>41</v>
      </c>
      <c r="G3" s="13" t="s">
        <v>42</v>
      </c>
      <c r="H3" s="13" t="s">
        <v>43</v>
      </c>
    </row>
    <row r="4" spans="2:8" hidden="1" outlineLevel="1" x14ac:dyDescent="0.25">
      <c r="B4" s="9"/>
      <c r="C4" s="9"/>
      <c r="D4" s="4"/>
      <c r="E4" s="15"/>
      <c r="F4" s="15"/>
      <c r="G4" s="15"/>
      <c r="H4" s="15"/>
    </row>
    <row r="5" spans="2:8" x14ac:dyDescent="0.25">
      <c r="B5" s="10" t="s">
        <v>25</v>
      </c>
      <c r="C5" s="10"/>
      <c r="D5" s="8"/>
      <c r="E5" s="8"/>
      <c r="F5" s="8"/>
      <c r="G5" s="8"/>
      <c r="H5" s="8"/>
    </row>
    <row r="6" spans="2:8" outlineLevel="1" x14ac:dyDescent="0.25">
      <c r="B6" s="9"/>
      <c r="C6" s="9" t="s">
        <v>39</v>
      </c>
      <c r="D6" s="4">
        <v>1</v>
      </c>
      <c r="E6" s="14">
        <v>1</v>
      </c>
      <c r="F6" s="14">
        <v>1.5</v>
      </c>
      <c r="G6" s="14">
        <v>0.5</v>
      </c>
      <c r="H6" s="14">
        <v>3</v>
      </c>
    </row>
    <row r="7" spans="2:8" outlineLevel="1" x14ac:dyDescent="0.25">
      <c r="B7" s="9"/>
      <c r="C7" s="9" t="s">
        <v>20</v>
      </c>
      <c r="D7" s="4">
        <v>1</v>
      </c>
      <c r="E7" s="14">
        <v>1</v>
      </c>
      <c r="F7" s="14">
        <v>2</v>
      </c>
      <c r="G7" s="14">
        <v>2.5</v>
      </c>
      <c r="H7" s="14">
        <v>0.8</v>
      </c>
    </row>
    <row r="8" spans="2:8" outlineLevel="1" x14ac:dyDescent="0.25">
      <c r="B8" s="9"/>
      <c r="C8" s="9" t="s">
        <v>21</v>
      </c>
      <c r="D8" s="4">
        <v>9.81</v>
      </c>
      <c r="E8" s="14">
        <v>9.81</v>
      </c>
      <c r="F8" s="14">
        <v>11.11</v>
      </c>
      <c r="G8" s="14">
        <v>9.32</v>
      </c>
      <c r="H8" s="14">
        <v>10.5</v>
      </c>
    </row>
    <row r="9" spans="2:8" outlineLevel="1" x14ac:dyDescent="0.25">
      <c r="B9" s="9"/>
      <c r="C9" s="9" t="s">
        <v>22</v>
      </c>
      <c r="D9" s="4">
        <v>0.03</v>
      </c>
      <c r="E9" s="14">
        <v>0.03</v>
      </c>
      <c r="F9" s="14">
        <v>0.01</v>
      </c>
      <c r="G9" s="14">
        <v>0.05</v>
      </c>
      <c r="H9" s="14">
        <v>0.12</v>
      </c>
    </row>
    <row r="10" spans="2:8" outlineLevel="1" x14ac:dyDescent="0.25">
      <c r="B10" s="9"/>
      <c r="C10" s="9" t="s">
        <v>23</v>
      </c>
      <c r="D10" s="4">
        <v>0.02</v>
      </c>
      <c r="E10" s="14">
        <v>0.02</v>
      </c>
      <c r="F10" s="14">
        <v>0.09</v>
      </c>
      <c r="G10" s="14">
        <v>0.01</v>
      </c>
      <c r="H10" s="14">
        <v>0.21</v>
      </c>
    </row>
    <row r="11" spans="2:8" x14ac:dyDescent="0.25">
      <c r="B11" s="10" t="s">
        <v>27</v>
      </c>
      <c r="C11" s="10"/>
      <c r="D11" s="8"/>
      <c r="E11" s="8"/>
      <c r="F11" s="8"/>
      <c r="G11" s="8"/>
      <c r="H11" s="8"/>
    </row>
    <row r="12" spans="2:8" outlineLevel="1" x14ac:dyDescent="0.25">
      <c r="B12" s="9"/>
      <c r="C12" s="9" t="s">
        <v>31</v>
      </c>
      <c r="D12" s="4">
        <v>2.0060666807106502</v>
      </c>
      <c r="E12" s="4">
        <v>2.0060666807106502</v>
      </c>
      <c r="F12" s="4">
        <v>2.308705132434</v>
      </c>
      <c r="G12" s="4">
        <v>1.4553146940105</v>
      </c>
      <c r="H12" s="4">
        <v>3.3585038167254302</v>
      </c>
    </row>
    <row r="13" spans="2:8" outlineLevel="1" x14ac:dyDescent="0.25">
      <c r="B13" s="9"/>
      <c r="C13" s="9" t="s">
        <v>32</v>
      </c>
      <c r="D13" s="4">
        <v>3.0013505064353501E-2</v>
      </c>
      <c r="E13" s="4">
        <v>3.0013505064353501E-2</v>
      </c>
      <c r="F13" s="4">
        <v>1.50007500312513E-2</v>
      </c>
      <c r="G13" s="4">
        <v>2.5031282585211499E-2</v>
      </c>
      <c r="H13" s="4">
        <v>0.36260764360735198</v>
      </c>
    </row>
    <row r="14" spans="2:8" outlineLevel="1" x14ac:dyDescent="0.25">
      <c r="B14" s="9"/>
      <c r="C14" s="9" t="s">
        <v>33</v>
      </c>
      <c r="D14" s="4">
        <v>3.1320919526731701</v>
      </c>
      <c r="E14" s="4">
        <v>3.1320919526731701</v>
      </c>
      <c r="F14" s="4">
        <v>2.7215191835933599</v>
      </c>
      <c r="G14" s="4">
        <v>4.3174066289845801</v>
      </c>
      <c r="H14" s="4">
        <v>1.87082869338697</v>
      </c>
    </row>
    <row r="15" spans="2:8" outlineLevel="1" x14ac:dyDescent="0.25">
      <c r="B15" s="9"/>
      <c r="C15" s="9" t="s">
        <v>34</v>
      </c>
      <c r="D15" s="4">
        <v>2.9884801544983099E-2</v>
      </c>
      <c r="E15" s="4">
        <v>2.9884801544983099E-2</v>
      </c>
      <c r="F15" s="4">
        <v>1.4515914602614199E-2</v>
      </c>
      <c r="G15" s="4">
        <v>2.4922707796526101E-2</v>
      </c>
      <c r="H15" s="4">
        <v>0.31595377227053401</v>
      </c>
    </row>
    <row r="16" spans="2:8" outlineLevel="1" x14ac:dyDescent="0.25">
      <c r="B16" s="9"/>
      <c r="C16" s="9" t="s">
        <v>35</v>
      </c>
      <c r="D16" s="4">
        <v>8.6963495390397893E-3</v>
      </c>
      <c r="E16" s="4">
        <v>8.6963495390397893E-3</v>
      </c>
      <c r="F16" s="4">
        <v>1.02953760484707E-2</v>
      </c>
      <c r="G16" s="4">
        <v>1.0054779322404899E-2</v>
      </c>
      <c r="H16" s="4">
        <v>0.33286830649182497</v>
      </c>
    </row>
    <row r="17" spans="2:8" outlineLevel="1" x14ac:dyDescent="0.25">
      <c r="B17" s="9"/>
      <c r="C17" s="9" t="s">
        <v>36</v>
      </c>
      <c r="D17" s="4">
        <v>4.3803361658183403E-3</v>
      </c>
      <c r="E17" s="4">
        <v>4.3803361658183403E-3</v>
      </c>
      <c r="F17" s="4">
        <v>1.5606597134672801E-3</v>
      </c>
      <c r="G17" s="4">
        <v>1.44695975184038E-2</v>
      </c>
      <c r="H17" s="4">
        <v>0.13962836750346</v>
      </c>
    </row>
    <row r="18" spans="2:8" outlineLevel="1" x14ac:dyDescent="0.25">
      <c r="B18" s="9"/>
      <c r="C18" s="9" t="s">
        <v>37</v>
      </c>
      <c r="D18" s="4">
        <v>3.78132476525787E-5</v>
      </c>
      <c r="E18" s="4">
        <v>3.78132476525787E-5</v>
      </c>
      <c r="F18" s="4">
        <v>1.05994767979423E-4</v>
      </c>
      <c r="G18" s="4">
        <v>1.26373234027826E-4</v>
      </c>
      <c r="H18" s="4">
        <v>4.4320523786694099E-2</v>
      </c>
    </row>
    <row r="19" spans="2:8" ht="15.75" outlineLevel="1" thickBot="1" x14ac:dyDescent="0.3">
      <c r="B19" s="11"/>
      <c r="C19" s="11" t="s">
        <v>38</v>
      </c>
      <c r="D19" s="5">
        <v>4.4181494134709204E-3</v>
      </c>
      <c r="E19" s="5">
        <v>4.4181494134709204E-3</v>
      </c>
      <c r="F19" s="5">
        <v>1.6666544814467001E-3</v>
      </c>
      <c r="G19" s="5">
        <v>1.4595970752431599E-2</v>
      </c>
      <c r="H19" s="5">
        <v>0.18394889129015399</v>
      </c>
    </row>
    <row r="20" spans="2:8" x14ac:dyDescent="0.25">
      <c r="B20" t="s">
        <v>28</v>
      </c>
    </row>
    <row r="21" spans="2:8" x14ac:dyDescent="0.25">
      <c r="B21" t="s">
        <v>29</v>
      </c>
    </row>
    <row r="22" spans="2:8" x14ac:dyDescent="0.25">
      <c r="B22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tabSelected="1" workbookViewId="0">
      <selection activeCell="C14" sqref="C14"/>
    </sheetView>
  </sheetViews>
  <sheetFormatPr defaultRowHeight="15" x14ac:dyDescent="0.25"/>
  <cols>
    <col min="1" max="1" width="17.28515625" bestFit="1" customWidth="1"/>
    <col min="2" max="2" width="12" bestFit="1" customWidth="1"/>
    <col min="3" max="3" width="23.7109375" customWidth="1"/>
    <col min="4" max="4" width="22.140625" customWidth="1"/>
    <col min="5" max="5" width="20.5703125" customWidth="1"/>
    <col min="6" max="6" width="18.28515625" customWidth="1"/>
    <col min="7" max="7" width="22" customWidth="1"/>
    <col min="8" max="8" width="18.28515625" customWidth="1"/>
    <col min="9" max="9" width="24.140625" customWidth="1"/>
  </cols>
  <sheetData>
    <row r="1" spans="1:9" x14ac:dyDescent="0.25">
      <c r="A1" s="16" t="s">
        <v>1</v>
      </c>
      <c r="B1" t="s">
        <v>45</v>
      </c>
    </row>
    <row r="3" spans="1:9" x14ac:dyDescent="0.25">
      <c r="A3" s="16" t="s">
        <v>44</v>
      </c>
      <c r="B3" t="s">
        <v>31</v>
      </c>
      <c r="C3" t="s">
        <v>32</v>
      </c>
      <c r="D3" t="s">
        <v>33</v>
      </c>
      <c r="E3" t="s">
        <v>34</v>
      </c>
      <c r="F3" t="s">
        <v>35</v>
      </c>
      <c r="G3" t="s">
        <v>36</v>
      </c>
      <c r="H3" t="s">
        <v>37</v>
      </c>
      <c r="I3" t="s">
        <v>38</v>
      </c>
    </row>
    <row r="4" spans="1:9" x14ac:dyDescent="0.25">
      <c r="A4" s="17" t="s">
        <v>40</v>
      </c>
      <c r="B4" s="18">
        <v>2.0060666807106475</v>
      </c>
      <c r="C4" s="18">
        <v>3.001350506435355E-2</v>
      </c>
      <c r="D4" s="18">
        <v>3.1320919526731652</v>
      </c>
      <c r="E4" s="18">
        <v>2.9884801544983134E-2</v>
      </c>
      <c r="F4" s="18">
        <v>8.6963495390397858E-3</v>
      </c>
      <c r="G4" s="18">
        <v>4.3803361658183394E-3</v>
      </c>
      <c r="H4" s="18">
        <v>3.7813247652578748E-5</v>
      </c>
      <c r="I4" s="18">
        <v>4.4181494134709178E-3</v>
      </c>
    </row>
    <row r="5" spans="1:9" x14ac:dyDescent="0.25">
      <c r="A5" s="17" t="s">
        <v>41</v>
      </c>
      <c r="B5" s="18">
        <v>2.3087051324340027</v>
      </c>
      <c r="C5" s="18">
        <v>1.5000750031251271E-2</v>
      </c>
      <c r="D5" s="18">
        <v>2.7215191835933594</v>
      </c>
      <c r="E5" s="18">
        <v>1.4515914602614191E-2</v>
      </c>
      <c r="F5" s="18">
        <v>1.0295376048470662E-2</v>
      </c>
      <c r="G5" s="18">
        <v>1.5606597134672762E-3</v>
      </c>
      <c r="H5" s="18">
        <v>1.0599476797942337E-4</v>
      </c>
      <c r="I5" s="18">
        <v>1.6666544814466996E-3</v>
      </c>
    </row>
    <row r="6" spans="1:9" x14ac:dyDescent="0.25">
      <c r="A6" s="17" t="s">
        <v>42</v>
      </c>
      <c r="B6" s="18">
        <v>1.4553146940104971</v>
      </c>
      <c r="C6" s="18">
        <v>2.503128258521153E-2</v>
      </c>
      <c r="D6" s="18">
        <v>4.3174066289845809</v>
      </c>
      <c r="E6" s="18">
        <v>2.492270779652608E-2</v>
      </c>
      <c r="F6" s="18">
        <v>1.0054779322404894E-2</v>
      </c>
      <c r="G6" s="18">
        <v>1.446959751840377E-2</v>
      </c>
      <c r="H6" s="18">
        <v>1.2637323402782627E-4</v>
      </c>
      <c r="I6" s="18">
        <v>1.4595970752431596E-2</v>
      </c>
    </row>
    <row r="7" spans="1:9" x14ac:dyDescent="0.25">
      <c r="A7" s="17" t="s">
        <v>43</v>
      </c>
      <c r="B7" s="18">
        <v>3.358503816725428</v>
      </c>
      <c r="C7" s="18">
        <v>0.36260764360735193</v>
      </c>
      <c r="D7" s="18">
        <v>1.8708286933869707</v>
      </c>
      <c r="E7" s="18">
        <v>0.31595377227053417</v>
      </c>
      <c r="F7" s="18">
        <v>0.33286830649182464</v>
      </c>
      <c r="G7" s="18">
        <v>0.13962836750345994</v>
      </c>
      <c r="H7" s="18">
        <v>4.4320523786694127E-2</v>
      </c>
      <c r="I7" s="18">
        <v>0.18394889129015407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E9"/>
  <sheetViews>
    <sheetView workbookViewId="0">
      <selection activeCell="K8" sqref="K8"/>
    </sheetView>
  </sheetViews>
  <sheetFormatPr defaultRowHeight="15" x14ac:dyDescent="0.25"/>
  <cols>
    <col min="1" max="1" width="24.5703125" customWidth="1"/>
    <col min="2" max="2" width="12.42578125" customWidth="1"/>
    <col min="4" max="4" width="26.28515625" customWidth="1"/>
    <col min="5" max="5" width="17.28515625" customWidth="1"/>
  </cols>
  <sheetData>
    <row r="1" spans="1:5" x14ac:dyDescent="0.25">
      <c r="D1" s="3" t="s">
        <v>12</v>
      </c>
      <c r="E1" s="3"/>
    </row>
    <row r="2" spans="1:5" x14ac:dyDescent="0.25">
      <c r="A2" s="1" t="s">
        <v>0</v>
      </c>
      <c r="B2" s="1" t="s">
        <v>1</v>
      </c>
      <c r="D2" s="1" t="s">
        <v>15</v>
      </c>
      <c r="E2" s="1">
        <f>2*PI()*SQRT(B3/B5)</f>
        <v>2.0060666807106475</v>
      </c>
    </row>
    <row r="3" spans="1:5" x14ac:dyDescent="0.25">
      <c r="A3" s="1" t="s">
        <v>13</v>
      </c>
      <c r="B3" s="1">
        <v>1</v>
      </c>
      <c r="D3" s="1" t="s">
        <v>5</v>
      </c>
      <c r="E3" s="1">
        <f>B6*B3/COS(B6)</f>
        <v>3.001350506435355E-2</v>
      </c>
    </row>
    <row r="4" spans="1:5" x14ac:dyDescent="0.25">
      <c r="A4" s="1" t="s">
        <v>2</v>
      </c>
      <c r="B4" s="1">
        <v>1</v>
      </c>
      <c r="D4" s="1" t="s">
        <v>6</v>
      </c>
      <c r="E4" s="1">
        <f>SQRT(B5/B3)</f>
        <v>3.1320919526731652</v>
      </c>
    </row>
    <row r="5" spans="1:5" ht="30" x14ac:dyDescent="0.25">
      <c r="A5" s="2" t="s">
        <v>14</v>
      </c>
      <c r="B5" s="1">
        <v>9.81</v>
      </c>
      <c r="D5" s="1" t="s">
        <v>7</v>
      </c>
      <c r="E5" s="1">
        <f>E3*COS(E4*B7+B6)</f>
        <v>2.9884801544983134E-2</v>
      </c>
    </row>
    <row r="6" spans="1:5" x14ac:dyDescent="0.25">
      <c r="A6" s="1" t="s">
        <v>3</v>
      </c>
      <c r="B6" s="1">
        <v>0.03</v>
      </c>
      <c r="D6" s="1" t="s">
        <v>8</v>
      </c>
      <c r="E6" s="1">
        <f>E3*E4*SIN(E4*B7+B6)</f>
        <v>8.6963495390397858E-3</v>
      </c>
    </row>
    <row r="7" spans="1:5" x14ac:dyDescent="0.25">
      <c r="A7" s="1" t="s">
        <v>4</v>
      </c>
      <c r="B7" s="1">
        <v>0.02</v>
      </c>
      <c r="D7" s="1" t="s">
        <v>9</v>
      </c>
      <c r="E7" s="1">
        <f>B4*B5*B3*(1-COS(E5/B3))</f>
        <v>4.3803361658183394E-3</v>
      </c>
    </row>
    <row r="8" spans="1:5" x14ac:dyDescent="0.25">
      <c r="D8" s="1" t="s">
        <v>10</v>
      </c>
      <c r="E8" s="1">
        <f>B4*(E6*E6)/2</f>
        <v>3.7813247652578748E-5</v>
      </c>
    </row>
    <row r="9" spans="1:5" x14ac:dyDescent="0.25">
      <c r="D9" s="1" t="s">
        <v>11</v>
      </c>
      <c r="E9" s="1">
        <f>SUM(E7:E8)</f>
        <v>4.4181494134709178E-3</v>
      </c>
    </row>
  </sheetData>
  <scenarios current="3" show="0" sqref="E2:E9">
    <scenario name="Вариант1" locked="1" count="5" user="Автор">
      <inputCells r="B3" val="1"/>
      <inputCells r="B4" val="1"/>
      <inputCells r="B5" val="9,81"/>
      <inputCells r="B6" val="0,03"/>
      <inputCells r="B7" val="0,02"/>
    </scenario>
    <scenario name="Вариант2" locked="1" count="5" user="Автор">
      <inputCells r="B3" val="1,5"/>
      <inputCells r="B4" val="2"/>
      <inputCells r="B5" val="11,11"/>
      <inputCells r="B6" val="0,01"/>
      <inputCells r="B7" val="0,09"/>
    </scenario>
    <scenario name="Вариант3" locked="1" count="5" user="Автор">
      <inputCells r="B3" val="0,5"/>
      <inputCells r="B4" val="2,5"/>
      <inputCells r="B5" val="9,32"/>
      <inputCells r="B6" val="0,05"/>
      <inputCells r="B7" val="0,01"/>
    </scenario>
    <scenario name="Вариант4" locked="1" count="5" user="Автор">
      <inputCells r="B3" val="3"/>
      <inputCells r="B4" val="0,8"/>
      <inputCells r="B5" val="10,5"/>
      <inputCells r="B6" val="0,12"/>
      <inputCells r="B7" val="0,21"/>
    </scenario>
  </scenarios>
  <mergeCells count="1">
    <mergeCell ref="D1:E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5</xdr:col>
                <xdr:colOff>190500</xdr:colOff>
                <xdr:row>0</xdr:row>
                <xdr:rowOff>171450</xdr:rowOff>
              </from>
              <to>
                <xdr:col>8</xdr:col>
                <xdr:colOff>85725</xdr:colOff>
                <xdr:row>3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B5"/>
  <sheetViews>
    <sheetView workbookViewId="0">
      <selection activeCell="G3" sqref="G3"/>
    </sheetView>
  </sheetViews>
  <sheetFormatPr defaultRowHeight="15" x14ac:dyDescent="0.25"/>
  <cols>
    <col min="1" max="1" width="22.140625" bestFit="1" customWidth="1"/>
  </cols>
  <sheetData>
    <row r="2" spans="1:2" x14ac:dyDescent="0.25">
      <c r="A2" t="s">
        <v>16</v>
      </c>
    </row>
    <row r="3" spans="1:2" x14ac:dyDescent="0.25">
      <c r="A3" t="s">
        <v>17</v>
      </c>
      <c r="B3">
        <v>1000</v>
      </c>
    </row>
    <row r="4" spans="1:2" x14ac:dyDescent="0.25">
      <c r="A4" t="s">
        <v>18</v>
      </c>
      <c r="B4">
        <v>200</v>
      </c>
    </row>
    <row r="5" spans="1:2" x14ac:dyDescent="0.25">
      <c r="A5" t="s">
        <v>19</v>
      </c>
      <c r="B5">
        <f>SUM(B3:B4)</f>
        <v>1200</v>
      </c>
    </row>
  </sheetData>
  <scenarios current="0">
    <scenario name="Вариант 1" locked="1" count="2" user="Автор" comment="Автор: Андрей Гарнаев, 28.03.99">
      <inputCells r="B3" val="1000"/>
      <inputCells r="B4" val="200"/>
    </scenario>
  </scenario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14</vt:i4>
      </vt:variant>
    </vt:vector>
  </HeadingPairs>
  <TitlesOfParts>
    <vt:vector size="18" baseType="lpstr">
      <vt:lpstr>Структура сценария</vt:lpstr>
      <vt:lpstr>Сводная таблица по сценарию</vt:lpstr>
      <vt:lpstr>Аркуш1</vt:lpstr>
      <vt:lpstr>Лист1</vt:lpstr>
      <vt:lpstr>Амплитуда_колебаний__м</vt:lpstr>
      <vt:lpstr>Длина_нити__м</vt:lpstr>
      <vt:lpstr>Длина_нити_кг</vt:lpstr>
      <vt:lpstr>Дуговая_координата__м</vt:lpstr>
      <vt:lpstr>Кинетичская_энергия__Дж</vt:lpstr>
      <vt:lpstr>Масса_груза_кг</vt:lpstr>
      <vt:lpstr>Момент_времени__с</vt:lpstr>
      <vt:lpstr>Начальный_угол__рад</vt:lpstr>
      <vt:lpstr>Период__с</vt:lpstr>
      <vt:lpstr>Полная_энергияя__Дж</vt:lpstr>
      <vt:lpstr>Потенциальная_энергия__Дж</vt:lpstr>
      <vt:lpstr>Скорочть_груза__м_с</vt:lpstr>
      <vt:lpstr>Собственная_частота__1_с</vt:lpstr>
      <vt:lpstr>Ускорение_свободного_падения_м_с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2018-04-13T07:33:31Z</dcterms:modified>
</cp:coreProperties>
</file>